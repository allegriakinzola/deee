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tvcorporation-my.sharepoint.com/personal/archippe_irenge_greatvisionbusiness_com/Documents/GVB_Sarl/ACTIVITES DEEE/CAMPAGNE SENSIBIL/"/>
    </mc:Choice>
  </mc:AlternateContent>
  <xr:revisionPtr revIDLastSave="254" documentId="13_ncr:1_{30AB2F1C-49F0-4806-994A-826E7D8D6080}" xr6:coauthVersionLast="47" xr6:coauthVersionMax="47" xr10:uidLastSave="{AF397CCC-9190-42D9-AAC5-C5E7FB2806C2}"/>
  <bookViews>
    <workbookView xWindow="-120" yWindow="-120" windowWidth="29040" windowHeight="16440" xr2:uid="{00000000-000D-0000-FFFF-FFFF00000000}"/>
  </bookViews>
  <sheets>
    <sheet name="Catalogue DEEE &amp; Points" sheetId="1" r:id="rId1"/>
    <sheet name="Budget collecte" sheetId="5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5" l="1"/>
  <c r="E9" i="5"/>
  <c r="C7" i="5"/>
  <c r="E7" i="5"/>
  <c r="C6" i="5"/>
  <c r="E6" i="5"/>
  <c r="E10" i="5"/>
  <c r="C10" i="5"/>
  <c r="E8" i="5"/>
  <c r="E11" i="5"/>
  <c r="E12" i="5"/>
  <c r="E13" i="5"/>
  <c r="E5" i="5"/>
  <c r="C11" i="5"/>
  <c r="C12" i="5"/>
  <c r="C13" i="5"/>
  <c r="C8" i="5"/>
  <c r="B8" i="5"/>
  <c r="B7" i="5"/>
  <c r="H2" i="5"/>
  <c r="C5" i="5"/>
  <c r="B6" i="5"/>
  <c r="H25" i="1"/>
  <c r="I25" i="1"/>
  <c r="H24" i="1"/>
  <c r="H23" i="1"/>
  <c r="H22" i="1"/>
  <c r="H21" i="1"/>
  <c r="I21" i="1"/>
  <c r="H20" i="1"/>
  <c r="H19" i="1"/>
  <c r="H18" i="1"/>
  <c r="I18" i="1"/>
  <c r="H17" i="1"/>
  <c r="H16" i="1"/>
  <c r="H15" i="1"/>
  <c r="H14" i="1"/>
  <c r="I14" i="1"/>
  <c r="H13" i="1"/>
  <c r="I13" i="1"/>
  <c r="H12" i="1"/>
  <c r="H11" i="1"/>
  <c r="H10" i="1"/>
  <c r="I10" i="1"/>
  <c r="H9" i="1"/>
  <c r="H8" i="1"/>
  <c r="H7" i="1"/>
  <c r="I20" i="1"/>
  <c r="I19" i="1"/>
  <c r="I12" i="1"/>
  <c r="I11" i="1"/>
  <c r="I24" i="1"/>
  <c r="I23" i="1"/>
  <c r="I22" i="1"/>
  <c r="I17" i="1"/>
  <c r="I16" i="1"/>
  <c r="I15" i="1"/>
  <c r="I9" i="1"/>
  <c r="I8" i="1"/>
  <c r="I7" i="1"/>
  <c r="D4" i="1"/>
  <c r="F25" i="1"/>
  <c r="J25" i="1"/>
  <c r="E14" i="5"/>
  <c r="F21" i="1"/>
  <c r="J21" i="1"/>
  <c r="F12" i="1"/>
  <c r="J12" i="1"/>
  <c r="F13" i="1"/>
  <c r="J13" i="1"/>
  <c r="F19" i="1"/>
  <c r="J19" i="1"/>
  <c r="F20" i="1"/>
  <c r="J20" i="1"/>
  <c r="F11" i="1"/>
  <c r="J11" i="1"/>
  <c r="F7" i="1"/>
  <c r="J7" i="1"/>
  <c r="F8" i="1"/>
  <c r="J8" i="1"/>
  <c r="F16" i="1"/>
  <c r="J16" i="1"/>
  <c r="F24" i="1"/>
  <c r="J24" i="1"/>
  <c r="F14" i="1"/>
  <c r="J14" i="1"/>
  <c r="F22" i="1"/>
  <c r="J22" i="1"/>
  <c r="F15" i="1"/>
  <c r="J15" i="1"/>
  <c r="F23" i="1"/>
  <c r="J23" i="1"/>
  <c r="F9" i="1"/>
  <c r="J9" i="1"/>
  <c r="F17" i="1"/>
  <c r="J17" i="1"/>
  <c r="F10" i="1"/>
  <c r="J10" i="1"/>
  <c r="F18" i="1"/>
  <c r="J18" i="1"/>
  <c r="J26" i="1"/>
  <c r="J4" i="1"/>
</calcChain>
</file>

<file path=xl/sharedStrings.xml><?xml version="1.0" encoding="utf-8"?>
<sst xmlns="http://schemas.openxmlformats.org/spreadsheetml/2006/main" count="124" uniqueCount="92">
  <si>
    <t>Catégorie</t>
  </si>
  <si>
    <t>Sous-catégorie / Article</t>
  </si>
  <si>
    <t>Description</t>
  </si>
  <si>
    <t>Unité de mesure</t>
  </si>
  <si>
    <t>Remarques / Filière</t>
  </si>
  <si>
    <t>Téléphonie &amp; Tablettes</t>
  </si>
  <si>
    <t>Tout téléphone intelligent, toutes marques</t>
  </si>
  <si>
    <t>Pièce</t>
  </si>
  <si>
    <t>Reconditionnement si fonctionnel, recyclage sinon</t>
  </si>
  <si>
    <t>Téléphone basique (GSM)</t>
  </si>
  <si>
    <t>Tablette</t>
  </si>
  <si>
    <t>iPad, Samsung Tab, etc.</t>
  </si>
  <si>
    <t>Reconditionnement si fonctionnel</t>
  </si>
  <si>
    <t>Recyclage</t>
  </si>
  <si>
    <t>Informatique</t>
  </si>
  <si>
    <t>Ordinateur portable</t>
  </si>
  <si>
    <t>Laptop, ultrabook, Chromebook</t>
  </si>
  <si>
    <t>Reconditionnement ou recyclage</t>
  </si>
  <si>
    <t>Ordinateur de bureau</t>
  </si>
  <si>
    <t>Tour, unité centrale</t>
  </si>
  <si>
    <t>Clavier / Souris</t>
  </si>
  <si>
    <t>Périphériques d'entrée</t>
  </si>
  <si>
    <t>Recyclage plastique + circuits</t>
  </si>
  <si>
    <t>Imprimante</t>
  </si>
  <si>
    <t>Jet d'encre, laser, tout format</t>
  </si>
  <si>
    <t>Retirer cartouches avant dépôt</t>
  </si>
  <si>
    <t>Disque dur / SSD</t>
  </si>
  <si>
    <t>HDD, SSD, carte mémoire</t>
  </si>
  <si>
    <t>Destruction sécurisée possible</t>
  </si>
  <si>
    <t>Routeur / Box / Modem</t>
  </si>
  <si>
    <t>Équipements réseau domestiques</t>
  </si>
  <si>
    <t>Recyclage circuits</t>
  </si>
  <si>
    <t>Batteries &amp; Accumulateurs</t>
  </si>
  <si>
    <t>Batterie lithium-ion</t>
  </si>
  <si>
    <t>Batteries smartphones, laptops, tablettes</t>
  </si>
  <si>
    <t>Batterie plomb-acide</t>
  </si>
  <si>
    <t>Batteries voiture, onduleur, UPS</t>
  </si>
  <si>
    <t>Pile alcaline (non rechargeable)</t>
  </si>
  <si>
    <t>Piles AA, AAA, 9V usagées</t>
  </si>
  <si>
    <t>Câbles &amp; Accessoires</t>
  </si>
  <si>
    <t>Chargeur / adaptateur</t>
  </si>
  <si>
    <t>Blocs d'alimentation, chargeurs muraux</t>
  </si>
  <si>
    <t>Recyclage circuits + plastique</t>
  </si>
  <si>
    <t>Petit Électroménager</t>
  </si>
  <si>
    <t>Fer à repasser</t>
  </si>
  <si>
    <t>Fers électriques</t>
  </si>
  <si>
    <t>Recyclage métal + plastique</t>
  </si>
  <si>
    <t>Ventilateur</t>
  </si>
  <si>
    <t>Ventilateurs de table, de sol</t>
  </si>
  <si>
    <t>Radio / Lecteur CD</t>
  </si>
  <si>
    <t>Appareils audio portables</t>
  </si>
  <si>
    <t>Grille-pain / Cafetière</t>
  </si>
  <si>
    <t>Petits appareils cuisine</t>
  </si>
  <si>
    <t>Audiovisuel &amp; Divertissement</t>
  </si>
  <si>
    <t>Décodeur TV (Canal+, TNT)</t>
  </si>
  <si>
    <t>Décodeurs satellite ou TNT</t>
  </si>
  <si>
    <t>Canal+ : décodeurs déclassés valorisables</t>
  </si>
  <si>
    <t>Cartes Bancaires</t>
  </si>
  <si>
    <t>Carte bancaire expirée</t>
  </si>
  <si>
    <t>Visa, Mastercard, débit, prépayée</t>
  </si>
  <si>
    <t>Recyclage et récupération métaux</t>
  </si>
  <si>
    <t>Recyclage et récupération cuivre, alu</t>
  </si>
  <si>
    <t>Filière: MG Batteries (Ouganda) et Danger si endommagée</t>
  </si>
  <si>
    <t>SOTRAFER RDC et Liquide à sécuriser</t>
  </si>
  <si>
    <t>Recyclage et attention mercure</t>
  </si>
  <si>
    <t>Partenaires : Equity BCDC, Rawbank, Ecobank et destruction sécurisée</t>
  </si>
  <si>
    <t xml:space="preserve">Points </t>
  </si>
  <si>
    <t>Smartphone tactile</t>
  </si>
  <si>
    <t>téléphones à touches</t>
  </si>
  <si>
    <t>PTS PAR MOIS</t>
  </si>
  <si>
    <t>EQUIVALENT USD</t>
  </si>
  <si>
    <t>50 POINTS EQUIVALENT A</t>
  </si>
  <si>
    <t>DONC 1 POINT EQUIVAUT A</t>
  </si>
  <si>
    <t>Equivalent en USD</t>
  </si>
  <si>
    <t>QTE A COLLECTER MOIS</t>
  </si>
  <si>
    <t>CATALOGUE DES DEEE ACCEPTÉS – Valorisation en Points et Coûts de Traitement - QTES A RENSEIGNER PAR L'ENTREPRISE</t>
  </si>
  <si>
    <t>NOMBRE D'AGENTS DANS L'ENTREPRISE</t>
  </si>
  <si>
    <t>BUDGET DE LA COLLECTE A LA VALORISATION</t>
  </si>
  <si>
    <t xml:space="preserve">CAMION DE COLLECTE </t>
  </si>
  <si>
    <t>NOMBRE DE POINTS DE COLLECTE</t>
  </si>
  <si>
    <t>PRE-TRAITEMENT</t>
  </si>
  <si>
    <t>NOMBRE DE COLLECTES</t>
  </si>
  <si>
    <t>COUT TOTAL</t>
  </si>
  <si>
    <t>MANUTENTION ( CHARGEMENT ET DECHARGEMENT)</t>
  </si>
  <si>
    <t>POUBELLES</t>
  </si>
  <si>
    <t>COÛT PAR COLLECTE</t>
  </si>
  <si>
    <t>TOTAL</t>
  </si>
  <si>
    <t>DEVELLOPEMENT DE L4aPPLICATION</t>
  </si>
  <si>
    <t xml:space="preserve">SYNTHESE DU BUDGET OPERATIONNEL POUR UNE CAMPAGNE DE 2 MOIS </t>
  </si>
  <si>
    <t>MAINTENANCE ET GESTION DE L'APPLICATION</t>
  </si>
  <si>
    <t>TOTAL POUR LES MESURES</t>
  </si>
  <si>
    <t>INCITATIVES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</si>
</sst>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_-[$$-C09]* #,##0.00_-;\-[$$-C09]* #,##0.00_-;_-[$$-C09]* &quot;-&quot;??_-;_-@_-"/>
    <numFmt numFmtId="166" formatCode="0&quot; mois&quot;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FFFFFF"/>
      <name val="Segoe UI"/>
      <family val="2"/>
    </font>
    <font>
      <sz val="10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2"/>
      <color rgb="FF000000"/>
      <name val="Segoe UI"/>
      <family val="2"/>
    </font>
    <font>
      <b/>
      <sz val="12"/>
      <color rgb="FF007B6E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Segoe UI"/>
      <family val="2"/>
    </font>
    <font>
      <b/>
      <sz val="16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07B6E"/>
      </patternFill>
    </fill>
    <fill>
      <patternFill patternType="solid">
        <fgColor rgb="FFE8F5F3"/>
      </patternFill>
    </fill>
    <fill>
      <patternFill patternType="solid">
        <fgColor rgb="FFFFF9E6"/>
      </patternFill>
    </fill>
    <fill>
      <patternFill patternType="solid">
        <fgColor rgb="FFFDECEA"/>
      </patternFill>
    </fill>
    <fill>
      <patternFill patternType="solid">
        <fgColor rgb="FFEFF3FF"/>
      </patternFill>
    </fill>
    <fill>
      <patternFill patternType="solid">
        <fgColor rgb="FFF3F0FF"/>
      </patternFill>
    </fill>
    <fill>
      <patternFill patternType="solid">
        <fgColor rgb="FFFFF0E8"/>
      </patternFill>
    </fill>
    <fill>
      <patternFill patternType="solid">
        <fgColor rgb="FFE8F5E9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5" fontId="5" fillId="11" borderId="0" xfId="0" applyNumberFormat="1" applyFont="1" applyFill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5" fontId="10" fillId="11" borderId="0" xfId="0" applyNumberFormat="1" applyFont="1" applyFill="1"/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1" borderId="3" xfId="0" applyFont="1" applyFill="1" applyBorder="1"/>
    <xf numFmtId="165" fontId="6" fillId="11" borderId="4" xfId="0" applyNumberFormat="1" applyFont="1" applyFill="1" applyBorder="1"/>
    <xf numFmtId="0" fontId="6" fillId="11" borderId="5" xfId="0" applyFont="1" applyFill="1" applyBorder="1"/>
    <xf numFmtId="165" fontId="6" fillId="11" borderId="6" xfId="0" applyNumberFormat="1" applyFont="1" applyFill="1" applyBorder="1"/>
    <xf numFmtId="0" fontId="6" fillId="11" borderId="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6" fillId="12" borderId="5" xfId="0" applyFont="1" applyFill="1" applyBorder="1"/>
    <xf numFmtId="0" fontId="2" fillId="0" borderId="0" xfId="0" applyFont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165" fontId="6" fillId="11" borderId="9" xfId="0" applyNumberFormat="1" applyFont="1" applyFill="1" applyBorder="1" applyAlignment="1">
      <alignment horizontal="center" vertical="center" wrapText="1"/>
    </xf>
    <xf numFmtId="166" fontId="6" fillId="11" borderId="11" xfId="0" applyNumberFormat="1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165" fontId="11" fillId="11" borderId="10" xfId="0" applyNumberFormat="1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165" fontId="6" fillId="12" borderId="6" xfId="0" applyNumberFormat="1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2" fillId="12" borderId="5" xfId="0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showGridLines="0" tabSelected="1" zoomScale="122" workbookViewId="0">
      <pane ySplit="6" topLeftCell="A12" activePane="bottomLeft" state="frozen"/>
      <selection pane="bottomLeft" activeCell="G13" sqref="G13"/>
    </sheetView>
  </sheetViews>
  <sheetFormatPr baseColWidth="10" defaultColWidth="8.85546875" defaultRowHeight="16.5" x14ac:dyDescent="0.3"/>
  <cols>
    <col min="1" max="1" width="26" style="1" bestFit="1" customWidth="1"/>
    <col min="2" max="2" width="26" style="1" customWidth="1"/>
    <col min="3" max="3" width="37.7109375" style="1" bestFit="1" customWidth="1"/>
    <col min="4" max="4" width="11.28515625" style="1" customWidth="1"/>
    <col min="5" max="5" width="10.42578125" style="1" customWidth="1"/>
    <col min="6" max="6" width="12.7109375" style="1" customWidth="1"/>
    <col min="7" max="7" width="60.85546875" style="3" bestFit="1" customWidth="1"/>
    <col min="8" max="8" width="19.85546875" style="3" customWidth="1"/>
    <col min="9" max="9" width="11" style="3" customWidth="1"/>
    <col min="10" max="10" width="24.140625" style="20" bestFit="1" customWidth="1"/>
    <col min="11" max="11" width="8.85546875" style="20"/>
  </cols>
  <sheetData>
    <row r="1" spans="1:10" ht="36" customHeight="1" x14ac:dyDescent="0.3">
      <c r="A1" s="68" t="s">
        <v>75</v>
      </c>
      <c r="B1" s="69"/>
      <c r="C1" s="69"/>
      <c r="D1" s="69"/>
      <c r="E1" s="69"/>
      <c r="F1" s="69"/>
      <c r="G1" s="69"/>
      <c r="H1" s="1"/>
      <c r="I1" s="1"/>
    </row>
    <row r="2" spans="1:10" ht="19.899999999999999" customHeight="1" thickBot="1" x14ac:dyDescent="0.35">
      <c r="G2" s="2"/>
      <c r="H2" s="2"/>
      <c r="I2" s="2"/>
      <c r="J2" s="67" t="s">
        <v>90</v>
      </c>
    </row>
    <row r="3" spans="1:10" ht="19.899999999999999" customHeight="1" thickBot="1" x14ac:dyDescent="0.35">
      <c r="C3" s="40" t="s">
        <v>71</v>
      </c>
      <c r="D3" s="41">
        <v>2</v>
      </c>
      <c r="G3" s="44" t="s">
        <v>76</v>
      </c>
      <c r="H3" s="2"/>
      <c r="I3" s="2"/>
      <c r="J3" s="67" t="s">
        <v>91</v>
      </c>
    </row>
    <row r="4" spans="1:10" ht="19.899999999999999" customHeight="1" thickBot="1" x14ac:dyDescent="0.35">
      <c r="C4" s="42" t="s">
        <v>72</v>
      </c>
      <c r="D4" s="43">
        <f>+D3/50</f>
        <v>0.04</v>
      </c>
      <c r="G4" s="66">
        <v>500</v>
      </c>
      <c r="H4" s="2"/>
      <c r="I4" s="2"/>
      <c r="J4" s="22">
        <f>SUM(J7:J25)</f>
        <v>7900</v>
      </c>
    </row>
    <row r="5" spans="1:10" ht="26.25" customHeight="1" x14ac:dyDescent="0.3"/>
    <row r="6" spans="1:10" ht="36" customHeight="1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66</v>
      </c>
      <c r="F6" s="4" t="s">
        <v>73</v>
      </c>
      <c r="G6" s="5" t="s">
        <v>4</v>
      </c>
      <c r="H6" s="21" t="s">
        <v>74</v>
      </c>
      <c r="I6" s="21" t="s">
        <v>69</v>
      </c>
      <c r="J6" s="21" t="s">
        <v>70</v>
      </c>
    </row>
    <row r="7" spans="1:10" ht="22.15" customHeight="1" x14ac:dyDescent="0.25">
      <c r="A7" s="6" t="s">
        <v>5</v>
      </c>
      <c r="B7" s="6" t="s">
        <v>67</v>
      </c>
      <c r="C7" s="6" t="s">
        <v>6</v>
      </c>
      <c r="D7" s="7" t="s">
        <v>7</v>
      </c>
      <c r="E7" s="33">
        <v>25</v>
      </c>
      <c r="F7" s="23">
        <f>+E7*$D$4</f>
        <v>1</v>
      </c>
      <c r="G7" s="6" t="s">
        <v>8</v>
      </c>
      <c r="H7" s="45">
        <f>+$G$4</f>
        <v>500</v>
      </c>
      <c r="I7" s="45">
        <f>+H7*E7</f>
        <v>12500</v>
      </c>
      <c r="J7" s="23">
        <f>H7*F7</f>
        <v>500</v>
      </c>
    </row>
    <row r="8" spans="1:10" ht="22.15" customHeight="1" x14ac:dyDescent="0.25">
      <c r="A8" s="6" t="s">
        <v>5</v>
      </c>
      <c r="B8" s="6" t="s">
        <v>68</v>
      </c>
      <c r="C8" s="6" t="s">
        <v>9</v>
      </c>
      <c r="D8" s="7" t="s">
        <v>7</v>
      </c>
      <c r="E8" s="33">
        <v>5</v>
      </c>
      <c r="F8" s="24">
        <f t="shared" ref="F8:F25" si="0">+E8*$D$4</f>
        <v>0.2</v>
      </c>
      <c r="G8" s="6" t="s">
        <v>60</v>
      </c>
      <c r="H8" s="45">
        <f t="shared" ref="H8:H25" si="1">+$G$4</f>
        <v>500</v>
      </c>
      <c r="I8" s="45">
        <f t="shared" ref="I8:I25" si="2">+H8*E8</f>
        <v>2500</v>
      </c>
      <c r="J8" s="24">
        <f t="shared" ref="J8:J25" si="3">H8*F8</f>
        <v>100</v>
      </c>
    </row>
    <row r="9" spans="1:10" ht="22.15" customHeight="1" x14ac:dyDescent="0.25">
      <c r="A9" s="6" t="s">
        <v>5</v>
      </c>
      <c r="B9" s="6" t="s">
        <v>10</v>
      </c>
      <c r="C9" s="6" t="s">
        <v>11</v>
      </c>
      <c r="D9" s="7" t="s">
        <v>7</v>
      </c>
      <c r="E9" s="33">
        <v>40</v>
      </c>
      <c r="F9" s="24">
        <f t="shared" si="0"/>
        <v>1.6</v>
      </c>
      <c r="G9" s="6" t="s">
        <v>12</v>
      </c>
      <c r="H9" s="45">
        <f t="shared" si="1"/>
        <v>500</v>
      </c>
      <c r="I9" s="45">
        <f t="shared" si="2"/>
        <v>20000</v>
      </c>
      <c r="J9" s="24">
        <f t="shared" si="3"/>
        <v>800</v>
      </c>
    </row>
    <row r="10" spans="1:10" ht="22.15" customHeight="1" x14ac:dyDescent="0.25">
      <c r="A10" s="8" t="s">
        <v>14</v>
      </c>
      <c r="B10" s="8" t="s">
        <v>15</v>
      </c>
      <c r="C10" s="8" t="s">
        <v>16</v>
      </c>
      <c r="D10" s="9" t="s">
        <v>7</v>
      </c>
      <c r="E10" s="34">
        <v>75</v>
      </c>
      <c r="F10" s="25">
        <f t="shared" si="0"/>
        <v>3</v>
      </c>
      <c r="G10" s="8" t="s">
        <v>17</v>
      </c>
      <c r="H10" s="46">
        <f t="shared" si="1"/>
        <v>500</v>
      </c>
      <c r="I10" s="46">
        <f t="shared" si="2"/>
        <v>37500</v>
      </c>
      <c r="J10" s="25">
        <f t="shared" si="3"/>
        <v>1500</v>
      </c>
    </row>
    <row r="11" spans="1:10" ht="22.15" customHeight="1" x14ac:dyDescent="0.25">
      <c r="A11" s="8" t="s">
        <v>14</v>
      </c>
      <c r="B11" s="8" t="s">
        <v>18</v>
      </c>
      <c r="C11" s="8" t="s">
        <v>19</v>
      </c>
      <c r="D11" s="9" t="s">
        <v>7</v>
      </c>
      <c r="E11" s="34">
        <v>60</v>
      </c>
      <c r="F11" s="25">
        <f t="shared" si="0"/>
        <v>2.4</v>
      </c>
      <c r="G11" s="8" t="s">
        <v>61</v>
      </c>
      <c r="H11" s="46">
        <f t="shared" si="1"/>
        <v>500</v>
      </c>
      <c r="I11" s="46">
        <f t="shared" si="2"/>
        <v>30000</v>
      </c>
      <c r="J11" s="25">
        <f t="shared" si="3"/>
        <v>1200</v>
      </c>
    </row>
    <row r="12" spans="1:10" ht="22.15" customHeight="1" x14ac:dyDescent="0.25">
      <c r="A12" s="8" t="s">
        <v>14</v>
      </c>
      <c r="B12" s="8" t="s">
        <v>20</v>
      </c>
      <c r="C12" s="8" t="s">
        <v>21</v>
      </c>
      <c r="D12" s="9" t="s">
        <v>7</v>
      </c>
      <c r="E12" s="34">
        <v>5</v>
      </c>
      <c r="F12" s="25">
        <f t="shared" si="0"/>
        <v>0.2</v>
      </c>
      <c r="G12" s="8" t="s">
        <v>22</v>
      </c>
      <c r="H12" s="46">
        <f t="shared" si="1"/>
        <v>500</v>
      </c>
      <c r="I12" s="46">
        <f t="shared" si="2"/>
        <v>2500</v>
      </c>
      <c r="J12" s="25">
        <f t="shared" si="3"/>
        <v>100</v>
      </c>
    </row>
    <row r="13" spans="1:10" ht="22.15" customHeight="1" x14ac:dyDescent="0.25">
      <c r="A13" s="8" t="s">
        <v>14</v>
      </c>
      <c r="B13" s="8" t="s">
        <v>23</v>
      </c>
      <c r="C13" s="8" t="s">
        <v>24</v>
      </c>
      <c r="D13" s="9" t="s">
        <v>7</v>
      </c>
      <c r="E13" s="34">
        <v>25</v>
      </c>
      <c r="F13" s="25">
        <f t="shared" si="0"/>
        <v>1</v>
      </c>
      <c r="G13" s="8" t="s">
        <v>25</v>
      </c>
      <c r="H13" s="46">
        <f t="shared" si="1"/>
        <v>500</v>
      </c>
      <c r="I13" s="46">
        <f t="shared" si="2"/>
        <v>12500</v>
      </c>
      <c r="J13" s="25">
        <f t="shared" si="3"/>
        <v>500</v>
      </c>
    </row>
    <row r="14" spans="1:10" ht="22.15" customHeight="1" x14ac:dyDescent="0.25">
      <c r="A14" s="8" t="s">
        <v>14</v>
      </c>
      <c r="B14" s="8" t="s">
        <v>26</v>
      </c>
      <c r="C14" s="8" t="s">
        <v>27</v>
      </c>
      <c r="D14" s="9" t="s">
        <v>7</v>
      </c>
      <c r="E14" s="34">
        <v>15</v>
      </c>
      <c r="F14" s="25">
        <f t="shared" si="0"/>
        <v>0.6</v>
      </c>
      <c r="G14" s="8" t="s">
        <v>28</v>
      </c>
      <c r="H14" s="46">
        <f t="shared" si="1"/>
        <v>500</v>
      </c>
      <c r="I14" s="46">
        <f t="shared" si="2"/>
        <v>7500</v>
      </c>
      <c r="J14" s="25">
        <f t="shared" si="3"/>
        <v>300</v>
      </c>
    </row>
    <row r="15" spans="1:10" ht="22.15" customHeight="1" x14ac:dyDescent="0.25">
      <c r="A15" s="8" t="s">
        <v>14</v>
      </c>
      <c r="B15" s="8" t="s">
        <v>29</v>
      </c>
      <c r="C15" s="8" t="s">
        <v>30</v>
      </c>
      <c r="D15" s="9" t="s">
        <v>7</v>
      </c>
      <c r="E15" s="34">
        <v>50</v>
      </c>
      <c r="F15" s="25">
        <f t="shared" si="0"/>
        <v>2</v>
      </c>
      <c r="G15" s="8" t="s">
        <v>31</v>
      </c>
      <c r="H15" s="46">
        <f t="shared" si="1"/>
        <v>500</v>
      </c>
      <c r="I15" s="46">
        <f t="shared" si="2"/>
        <v>25000</v>
      </c>
      <c r="J15" s="25">
        <f t="shared" si="3"/>
        <v>1000</v>
      </c>
    </row>
    <row r="16" spans="1:10" ht="22.15" customHeight="1" x14ac:dyDescent="0.25">
      <c r="A16" s="10" t="s">
        <v>32</v>
      </c>
      <c r="B16" s="10" t="s">
        <v>33</v>
      </c>
      <c r="C16" s="10" t="s">
        <v>34</v>
      </c>
      <c r="D16" s="11" t="s">
        <v>7</v>
      </c>
      <c r="E16" s="35">
        <v>5</v>
      </c>
      <c r="F16" s="26">
        <f t="shared" si="0"/>
        <v>0.2</v>
      </c>
      <c r="G16" s="10" t="s">
        <v>62</v>
      </c>
      <c r="H16" s="47">
        <f t="shared" si="1"/>
        <v>500</v>
      </c>
      <c r="I16" s="47">
        <f t="shared" si="2"/>
        <v>2500</v>
      </c>
      <c r="J16" s="26">
        <f t="shared" si="3"/>
        <v>100</v>
      </c>
    </row>
    <row r="17" spans="1:10" ht="22.15" customHeight="1" x14ac:dyDescent="0.25">
      <c r="A17" s="10" t="s">
        <v>32</v>
      </c>
      <c r="B17" s="10" t="s">
        <v>35</v>
      </c>
      <c r="C17" s="10" t="s">
        <v>36</v>
      </c>
      <c r="D17" s="11" t="s">
        <v>7</v>
      </c>
      <c r="E17" s="35">
        <v>25</v>
      </c>
      <c r="F17" s="26">
        <f t="shared" si="0"/>
        <v>1</v>
      </c>
      <c r="G17" s="10" t="s">
        <v>63</v>
      </c>
      <c r="H17" s="47">
        <f t="shared" si="1"/>
        <v>500</v>
      </c>
      <c r="I17" s="47">
        <f t="shared" si="2"/>
        <v>12500</v>
      </c>
      <c r="J17" s="26">
        <f t="shared" si="3"/>
        <v>500</v>
      </c>
    </row>
    <row r="18" spans="1:10" ht="22.15" customHeight="1" x14ac:dyDescent="0.25">
      <c r="A18" s="10" t="s">
        <v>32</v>
      </c>
      <c r="B18" s="73" t="s">
        <v>37</v>
      </c>
      <c r="C18" s="73" t="s">
        <v>38</v>
      </c>
      <c r="D18" s="11" t="s">
        <v>7</v>
      </c>
      <c r="E18" s="35">
        <v>5</v>
      </c>
      <c r="F18" s="26">
        <f t="shared" si="0"/>
        <v>0.2</v>
      </c>
      <c r="G18" s="10" t="s">
        <v>64</v>
      </c>
      <c r="H18" s="47">
        <f t="shared" si="1"/>
        <v>500</v>
      </c>
      <c r="I18" s="47">
        <f t="shared" si="2"/>
        <v>2500</v>
      </c>
      <c r="J18" s="26">
        <f t="shared" si="3"/>
        <v>100</v>
      </c>
    </row>
    <row r="19" spans="1:10" ht="22.15" customHeight="1" x14ac:dyDescent="0.25">
      <c r="A19" s="12" t="s">
        <v>39</v>
      </c>
      <c r="B19" s="12" t="s">
        <v>40</v>
      </c>
      <c r="C19" s="12" t="s">
        <v>41</v>
      </c>
      <c r="D19" s="13" t="s">
        <v>7</v>
      </c>
      <c r="E19" s="36">
        <v>5</v>
      </c>
      <c r="F19" s="27">
        <f t="shared" si="0"/>
        <v>0.2</v>
      </c>
      <c r="G19" s="12" t="s">
        <v>42</v>
      </c>
      <c r="H19" s="48">
        <f t="shared" si="1"/>
        <v>500</v>
      </c>
      <c r="I19" s="48">
        <f t="shared" si="2"/>
        <v>2500</v>
      </c>
      <c r="J19" s="27">
        <f t="shared" si="3"/>
        <v>100</v>
      </c>
    </row>
    <row r="20" spans="1:10" ht="22.15" customHeight="1" x14ac:dyDescent="0.25">
      <c r="A20" s="14" t="s">
        <v>43</v>
      </c>
      <c r="B20" s="73" t="s">
        <v>44</v>
      </c>
      <c r="C20" s="73" t="s">
        <v>45</v>
      </c>
      <c r="D20" s="15" t="s">
        <v>7</v>
      </c>
      <c r="E20" s="37">
        <v>10</v>
      </c>
      <c r="F20" s="28">
        <f t="shared" si="0"/>
        <v>0.4</v>
      </c>
      <c r="G20" s="14" t="s">
        <v>46</v>
      </c>
      <c r="H20" s="49">
        <f t="shared" si="1"/>
        <v>500</v>
      </c>
      <c r="I20" s="49">
        <f t="shared" si="2"/>
        <v>5000</v>
      </c>
      <c r="J20" s="28">
        <f t="shared" si="3"/>
        <v>200</v>
      </c>
    </row>
    <row r="21" spans="1:10" ht="22.15" customHeight="1" x14ac:dyDescent="0.25">
      <c r="A21" s="14" t="s">
        <v>43</v>
      </c>
      <c r="B21" s="73" t="s">
        <v>47</v>
      </c>
      <c r="C21" s="73" t="s">
        <v>48</v>
      </c>
      <c r="D21" s="15" t="s">
        <v>7</v>
      </c>
      <c r="E21" s="37">
        <v>10</v>
      </c>
      <c r="F21" s="28">
        <f t="shared" si="0"/>
        <v>0.4</v>
      </c>
      <c r="G21" s="14" t="s">
        <v>13</v>
      </c>
      <c r="H21" s="49">
        <f t="shared" si="1"/>
        <v>500</v>
      </c>
      <c r="I21" s="49">
        <f t="shared" si="2"/>
        <v>5000</v>
      </c>
      <c r="J21" s="28">
        <f t="shared" si="3"/>
        <v>200</v>
      </c>
    </row>
    <row r="22" spans="1:10" ht="22.15" customHeight="1" x14ac:dyDescent="0.25">
      <c r="A22" s="14" t="s">
        <v>43</v>
      </c>
      <c r="B22" s="14" t="s">
        <v>49</v>
      </c>
      <c r="C22" s="14" t="s">
        <v>50</v>
      </c>
      <c r="D22" s="15" t="s">
        <v>7</v>
      </c>
      <c r="E22" s="37">
        <v>5</v>
      </c>
      <c r="F22" s="28">
        <f t="shared" si="0"/>
        <v>0.2</v>
      </c>
      <c r="G22" s="14" t="s">
        <v>13</v>
      </c>
      <c r="H22" s="49">
        <f t="shared" si="1"/>
        <v>500</v>
      </c>
      <c r="I22" s="49">
        <f t="shared" si="2"/>
        <v>2500</v>
      </c>
      <c r="J22" s="28">
        <f t="shared" si="3"/>
        <v>100</v>
      </c>
    </row>
    <row r="23" spans="1:10" ht="22.15" customHeight="1" x14ac:dyDescent="0.25">
      <c r="A23" s="14" t="s">
        <v>43</v>
      </c>
      <c r="B23" s="73" t="s">
        <v>51</v>
      </c>
      <c r="C23" s="73" t="s">
        <v>52</v>
      </c>
      <c r="D23" s="15" t="s">
        <v>7</v>
      </c>
      <c r="E23" s="37">
        <v>10</v>
      </c>
      <c r="F23" s="28">
        <f t="shared" si="0"/>
        <v>0.4</v>
      </c>
      <c r="G23" s="14" t="s">
        <v>13</v>
      </c>
      <c r="H23" s="49">
        <f t="shared" si="1"/>
        <v>500</v>
      </c>
      <c r="I23" s="49">
        <f t="shared" si="2"/>
        <v>5000</v>
      </c>
      <c r="J23" s="28">
        <f t="shared" si="3"/>
        <v>200</v>
      </c>
    </row>
    <row r="24" spans="1:10" ht="22.15" customHeight="1" x14ac:dyDescent="0.25">
      <c r="A24" s="16" t="s">
        <v>53</v>
      </c>
      <c r="B24" s="16" t="s">
        <v>54</v>
      </c>
      <c r="C24" s="16" t="s">
        <v>55</v>
      </c>
      <c r="D24" s="17" t="s">
        <v>7</v>
      </c>
      <c r="E24" s="38">
        <v>15</v>
      </c>
      <c r="F24" s="29">
        <f t="shared" si="0"/>
        <v>0.6</v>
      </c>
      <c r="G24" s="16" t="s">
        <v>56</v>
      </c>
      <c r="H24" s="50">
        <f t="shared" si="1"/>
        <v>500</v>
      </c>
      <c r="I24" s="50">
        <f t="shared" si="2"/>
        <v>7500</v>
      </c>
      <c r="J24" s="29">
        <f t="shared" si="3"/>
        <v>300</v>
      </c>
    </row>
    <row r="25" spans="1:10" ht="22.15" customHeight="1" x14ac:dyDescent="0.25">
      <c r="A25" s="18" t="s">
        <v>57</v>
      </c>
      <c r="B25" s="18" t="s">
        <v>58</v>
      </c>
      <c r="C25" s="18" t="s">
        <v>59</v>
      </c>
      <c r="D25" s="19" t="s">
        <v>7</v>
      </c>
      <c r="E25" s="39">
        <v>5</v>
      </c>
      <c r="F25" s="30">
        <f t="shared" si="0"/>
        <v>0.2</v>
      </c>
      <c r="G25" s="18" t="s">
        <v>65</v>
      </c>
      <c r="H25" s="51">
        <f t="shared" si="1"/>
        <v>500</v>
      </c>
      <c r="I25" s="51">
        <f t="shared" si="2"/>
        <v>2500</v>
      </c>
      <c r="J25" s="30">
        <f t="shared" si="3"/>
        <v>100</v>
      </c>
    </row>
    <row r="26" spans="1:10" ht="17.25" x14ac:dyDescent="0.3">
      <c r="H26" s="31"/>
      <c r="I26" s="31"/>
      <c r="J26" s="32">
        <f>SUM(J7:J25)</f>
        <v>7900</v>
      </c>
    </row>
  </sheetData>
  <mergeCells count="1">
    <mergeCell ref="A1:G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F793-CF51-419A-AA6A-35F78FE07790}">
  <dimension ref="A1:H14"/>
  <sheetViews>
    <sheetView showGridLines="0" zoomScale="159" workbookViewId="0">
      <selection activeCell="A2" sqref="A2:E14"/>
    </sheetView>
  </sheetViews>
  <sheetFormatPr baseColWidth="10" defaultColWidth="8.85546875" defaultRowHeight="16.5" x14ac:dyDescent="0.3"/>
  <cols>
    <col min="1" max="1" width="52.42578125" style="1" customWidth="1"/>
    <col min="2" max="2" width="36.5703125" style="53" bestFit="1" customWidth="1"/>
    <col min="3" max="3" width="22.7109375" style="53" bestFit="1" customWidth="1"/>
    <col min="4" max="4" width="25.85546875" style="53" bestFit="1" customWidth="1"/>
    <col min="5" max="5" width="23" style="53" bestFit="1" customWidth="1"/>
    <col min="6" max="6" width="10.42578125" style="1" customWidth="1"/>
    <col min="7" max="7" width="8.85546875" style="20"/>
  </cols>
  <sheetData>
    <row r="1" spans="1:8" ht="36" customHeight="1" thickBot="1" x14ac:dyDescent="0.35">
      <c r="A1" s="68" t="s">
        <v>77</v>
      </c>
      <c r="B1" s="69"/>
      <c r="C1" s="69"/>
      <c r="D1" s="69"/>
      <c r="E1" s="69"/>
      <c r="F1" s="69"/>
    </row>
    <row r="2" spans="1:8" ht="30" customHeight="1" thickBot="1" x14ac:dyDescent="0.55000000000000004">
      <c r="A2" s="70" t="s">
        <v>88</v>
      </c>
      <c r="B2" s="71"/>
      <c r="C2" s="71"/>
      <c r="D2" s="71"/>
      <c r="E2" s="72"/>
      <c r="H2">
        <f>20*10</f>
        <v>200</v>
      </c>
    </row>
    <row r="3" spans="1:8" ht="19.899999999999999" customHeight="1" thickBot="1" x14ac:dyDescent="0.35"/>
    <row r="4" spans="1:8" ht="39" customHeight="1" thickBot="1" x14ac:dyDescent="0.35">
      <c r="B4" s="54" t="s">
        <v>79</v>
      </c>
      <c r="C4" s="55" t="s">
        <v>85</v>
      </c>
      <c r="D4" s="55" t="s">
        <v>81</v>
      </c>
      <c r="E4" s="56" t="s">
        <v>82</v>
      </c>
    </row>
    <row r="5" spans="1:8" ht="26.25" customHeight="1" thickBot="1" x14ac:dyDescent="0.35">
      <c r="A5" s="40" t="s">
        <v>78</v>
      </c>
      <c r="B5" s="57">
        <v>10</v>
      </c>
      <c r="C5" s="59">
        <f>IF(B5&lt;5,300,IF(AND(B5&gt;=5,B5&lt;=10),500,1000))</f>
        <v>500</v>
      </c>
      <c r="D5" s="60">
        <v>2</v>
      </c>
      <c r="E5" s="62">
        <f>C5*D5</f>
        <v>1000</v>
      </c>
    </row>
    <row r="6" spans="1:8" ht="17.25" thickBot="1" x14ac:dyDescent="0.35">
      <c r="A6" s="42" t="s">
        <v>83</v>
      </c>
      <c r="B6" s="58">
        <f>+B5*2</f>
        <v>20</v>
      </c>
      <c r="C6" s="59">
        <f>10*B6</f>
        <v>200</v>
      </c>
      <c r="D6" s="60">
        <v>2</v>
      </c>
      <c r="E6" s="62">
        <f t="shared" ref="E6:E13" si="0">C6*D6</f>
        <v>400</v>
      </c>
    </row>
    <row r="7" spans="1:8" ht="17.25" thickBot="1" x14ac:dyDescent="0.35">
      <c r="A7" s="42" t="s">
        <v>80</v>
      </c>
      <c r="B7" s="58">
        <f>+B5</f>
        <v>10</v>
      </c>
      <c r="C7" s="59">
        <f>50*B7</f>
        <v>500</v>
      </c>
      <c r="D7" s="60">
        <v>2</v>
      </c>
      <c r="E7" s="62">
        <f t="shared" si="0"/>
        <v>1000</v>
      </c>
    </row>
    <row r="8" spans="1:8" ht="17.25" thickBot="1" x14ac:dyDescent="0.35">
      <c r="A8" s="42" t="s">
        <v>84</v>
      </c>
      <c r="B8" s="58">
        <f>+B5</f>
        <v>10</v>
      </c>
      <c r="C8" s="59">
        <f>+B8*1150</f>
        <v>11500</v>
      </c>
      <c r="D8" s="60"/>
      <c r="E8" s="62">
        <f>C8</f>
        <v>11500</v>
      </c>
    </row>
    <row r="9" spans="1:8" ht="17.25" thickBot="1" x14ac:dyDescent="0.35">
      <c r="A9" s="42" t="s">
        <v>89</v>
      </c>
      <c r="B9" s="58">
        <v>1</v>
      </c>
      <c r="C9" s="59">
        <f>+B9*200</f>
        <v>200</v>
      </c>
      <c r="D9" s="60">
        <v>2</v>
      </c>
      <c r="E9" s="62">
        <f t="shared" si="0"/>
        <v>400</v>
      </c>
    </row>
    <row r="10" spans="1:8" ht="17.25" thickBot="1" x14ac:dyDescent="0.35">
      <c r="A10" s="42" t="s">
        <v>87</v>
      </c>
      <c r="B10" s="58">
        <v>1</v>
      </c>
      <c r="C10" s="59">
        <f>+B10*1800</f>
        <v>1800</v>
      </c>
      <c r="D10" s="57"/>
      <c r="E10" s="62">
        <f>+C10</f>
        <v>1800</v>
      </c>
    </row>
    <row r="11" spans="1:8" ht="17.25" thickBot="1" x14ac:dyDescent="0.35">
      <c r="A11" s="42"/>
      <c r="B11" s="58"/>
      <c r="C11" s="59">
        <f t="shared" ref="C11:C13" si="1">+B11*1150</f>
        <v>0</v>
      </c>
      <c r="D11" s="57"/>
      <c r="E11" s="62">
        <f t="shared" si="0"/>
        <v>0</v>
      </c>
    </row>
    <row r="12" spans="1:8" ht="17.25" thickBot="1" x14ac:dyDescent="0.35">
      <c r="A12" s="42"/>
      <c r="B12" s="58"/>
      <c r="C12" s="59">
        <f t="shared" si="1"/>
        <v>0</v>
      </c>
      <c r="D12" s="57"/>
      <c r="E12" s="62">
        <f t="shared" si="0"/>
        <v>0</v>
      </c>
    </row>
    <row r="13" spans="1:8" ht="17.25" thickBot="1" x14ac:dyDescent="0.35">
      <c r="A13" s="42"/>
      <c r="B13" s="58"/>
      <c r="C13" s="59">
        <f t="shared" si="1"/>
        <v>0</v>
      </c>
      <c r="D13" s="65"/>
      <c r="E13" s="62">
        <f t="shared" si="0"/>
        <v>0</v>
      </c>
    </row>
    <row r="14" spans="1:8" ht="17.25" thickBot="1" x14ac:dyDescent="0.35">
      <c r="A14" s="52" t="s">
        <v>86</v>
      </c>
      <c r="B14" s="63"/>
      <c r="C14" s="61"/>
      <c r="D14" s="61"/>
      <c r="E14" s="64">
        <f>SUM(E5:E13)</f>
        <v>16100</v>
      </c>
    </row>
  </sheetData>
  <mergeCells count="2">
    <mergeCell ref="A1:F1"/>
    <mergeCell ref="A2:E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Catalogue DEEE &amp; Points</vt:lpstr>
      <vt:lpstr>Budget collecte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Archippe Irenge</cp:lastModifiedBy>
  <dcterms:created xsi:type="dcterms:W3CDTF">2026-06-10T21:28:48Z</dcterms:created>
  <dcterms:modified xsi:type="dcterms:W3CDTF">2026-08-18T08:51:55Z</dcterms:modified>
</cp:coreProperties>
</file>